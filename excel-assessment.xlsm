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devam/Downloads/"/>
    </mc:Choice>
  </mc:AlternateContent>
  <xr:revisionPtr revIDLastSave="0" documentId="13_ncr:1_{CCF0720B-9CA6-4B46-83A3-8D834579F2C3}" xr6:coauthVersionLast="47" xr6:coauthVersionMax="47" xr10:uidLastSave="{00000000-0000-0000-0000-000000000000}"/>
  <bookViews>
    <workbookView xWindow="0" yWindow="500" windowWidth="28800" windowHeight="159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F8" i="18"/>
  <c r="F9" i="18"/>
  <c r="F30" i="18" s="1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7" i="18"/>
  <c r="F31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7" i="18"/>
  <c r="E31" i="18" s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7" i="18"/>
  <c r="C31" i="18" s="1"/>
  <c r="D8" i="18"/>
  <c r="D29" i="18" s="1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7" i="18"/>
  <c r="D31" i="18" s="1"/>
  <c r="B8" i="18"/>
  <c r="B9" i="18"/>
  <c r="B10" i="18"/>
  <c r="B30" i="18" s="1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7" i="18"/>
  <c r="B31" i="18" s="1"/>
  <c r="C22" i="19" a="1"/>
  <c r="C22" i="19" s="1"/>
  <c r="H43" i="1"/>
  <c r="E30" i="18" l="1"/>
  <c r="B29" i="18"/>
  <c r="D30" i="18"/>
  <c r="F29" i="18"/>
  <c r="C30" i="18"/>
  <c r="E29" i="18"/>
  <c r="C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<sst xmlns="http://schemas.openxmlformats.org/spreadsheetml/2006/main" count="404" uniqueCount="181">
  <si>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</si>
  <si>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</si>
  <si>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</si>
  <si>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</si>
  <si>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</si>
  <si>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</si>
  <si>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</si>
  <si>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</si>
  <si>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</si>
  <si>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</si>
  <si>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</si>
  <si>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</si>
  <si>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</si>
  <si>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</si>
  <si>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</si>
  <si>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</si>
  <si>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</si>
  <si>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</si>
  <si>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</si>
  <si>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</si>
  <si>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</si>
  <si>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</si>
  <si>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</si>
  <si>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</si>
  <si>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</si>
  <si>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</si>
  <si>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</si>
  <si>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</si>
  <si>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</si>
  <si>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</si>
  <si>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</si>
  <si>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</si>
  <si>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</si>
  <si>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</si>
  <si>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</si>
  <si>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</si>
  <si>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</si>
  <si>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</si>
  <si>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</si>
  <si>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</si>
  <si>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</si>
  <si>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</si>
  <si>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</si>
  <si>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</si>
  <si>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</si>
  <si>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</si>
  <si>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</si>
  <si>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</si>
  <si>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</si>
  <si>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</si>
  <si>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</si>
  <si>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</si>
  <si>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</si>
  <si>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</si>
  <si>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</si>
  <si>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</si>
  <si>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</si>
  <si>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</si>
  <si>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</si>
  <si>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</si>
  <si>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</si>
  <si>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</si>
  <si>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</si>
  <si>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</si>
  <si>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</si>
  <si>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</si>
  <si>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</si>
  <si>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</si>
  <si>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</si>
  <si>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</si>
  <si>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</si>
  <si>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</si>
  <si>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</si>
  <si>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</si>
  <si>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</si>
  <si>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</si>
  <si>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</si>
  <si>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</si>
  <si>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</si>
  <si>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</si>
  <si>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</si>
  <si>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</si>
  <si>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</si>
  <si>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</si>
  <si>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</si>
  <si>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</si>
  <si>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</si>
  <si>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</si>
  <si>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</si>
  <si>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</si>
  <si>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</si>
  <si>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</si>
  <si>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</si>
  <si>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</si>
  <si>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</si>
  <si>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</si>
  <si>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</si>
  <si>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</si>
  <si>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</si>
  <si>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</si>
  <si>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</si>
  <si>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</si>
  <si>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</si>
  <si>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</si>
  <si>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</si>
  <si>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</si>
  <si>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</si>
  <si>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</si>
  <si>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</si>
  <si>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</si>
  <si>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</si>
  <si>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</si>
  <si>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</si>
  <si>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</si>
  <si>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</si>
  <si>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</si>
  <si>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</si>
  <si>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</si>
  <si>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</si>
  <si>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</si>
  <si>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</si>
  <si>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</si>
  <si>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</si>
  <si>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</si>
  <si>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</si>
  <si>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</si>
  <si>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</si>
  <si>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</si>
  <si>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</si>
  <si>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</si>
  <si>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</si>
  <si>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</si>
  <si>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</si>
  <si>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</si>
  <si>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</si>
  <si>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</si>
  <si>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</si>
  <si>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</si>
  <si>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</si>
  <si>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</si>
  <si>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</si>
  <si>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</si>
  <si>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</si>
  <si>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</si>
  <si>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</si>
  <si>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</si>
  <si>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</si>
  <si>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</si>
  <si>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</si>
  <si>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</si>
  <si>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</si>
  <si>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</si>
  <si>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</si>
  <si>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</si>
  <si>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</si>
  <si>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</si>
  <si>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</si>
  <si>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</si>
  <si>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</si>
  <si>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</si>
  <si>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</si>
  <si>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</si>
  <si>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</si>
  <si>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</si>
  <si>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</si>
  <si>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</si>
  <si>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</si>
  <si>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</si>
  <si>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</si>
  <si>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</si>
  <si>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</si>
  <si>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</si>
  <si>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</si>
  <si>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</si>
  <si>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</si>
  <si>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</si>
  <si>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</si>
  <si>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</si>
  <si>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Used text to column option from data tab, used "-" as a delimiter to separate the values into col1, col3 , etc.</t>
  </si>
  <si>
    <t>Used Vlookup to retrive values from dataset as per columns and names mentioned.</t>
  </si>
  <si>
    <t xml:space="preserve">Used sumif formula to get sum of all the values and in codition- if sales value is NA considering 20.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</si>
</sst>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FFFFFF"/>
      <name val="Monaco"/>
      <family val="2"/>
    </font>
    <font>
      <sz val="14"/>
      <color theme="1"/>
      <name val="Monaco"/>
      <family val="2"/>
    </font>
    <font>
      <sz val="12"/>
      <color theme="1"/>
      <name val="Calibri Light"/>
      <family val="2"/>
      <scheme val="maj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65" fontId="3" fillId="0" borderId="0" xfId="0" applyNumberFormat="1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0" fontId="21" fillId="0" borderId="7" xfId="0" applyFont="1" applyBorder="1"/>
    <xf numFmtId="0" fontId="21" fillId="0" borderId="3" xfId="0" applyFont="1" applyBorder="1"/>
    <xf numFmtId="0" fontId="15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2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50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F1" zoomScaleNormal="100" workbookViewId="0">
      <pane ySplit="1" topLeftCell="A2" activePane="bottomLeft" state="frozen"/>
      <selection pane="bottomLeft" activeCell="G43" sqref="G43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ht="19" x14ac:dyDescent="0.25">
      <c r="H42" s="45"/>
    </row>
    <row r="43" spans="1:24" x14ac:dyDescent="0.2">
      <c r="H43" s="1">
        <f>SUMIF(H2:H40,"&gt;20")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G1:W41 G43:W1048576 G42 I42:W42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20" zoomScaleNormal="120" workbookViewId="0">
      <selection activeCell="B20" sqref="B20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N31"/>
  <sheetViews>
    <sheetView zoomScaleNormal="100" workbookViewId="0">
      <selection activeCell="M21" sqref="M21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14" s="40" customFormat="1" ht="21" x14ac:dyDescent="0.25">
      <c r="A1" s="41" t="s">
        <v>55</v>
      </c>
      <c r="B1" s="48" t="s">
        <v>164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40" customFormat="1" ht="21" x14ac:dyDescent="0.25">
      <c r="B2" s="48" t="s">
        <v>161</v>
      </c>
      <c r="C2" s="48"/>
      <c r="D2" s="48"/>
      <c r="E2" s="48"/>
      <c r="F2" s="48"/>
      <c r="G2" s="48"/>
      <c r="H2" s="48"/>
      <c r="I2" s="48"/>
      <c r="J2" s="48"/>
    </row>
    <row r="3" spans="1:14" s="40" customFormat="1" ht="21" x14ac:dyDescent="0.25">
      <c r="B3" s="47"/>
      <c r="C3" s="47"/>
      <c r="D3" s="47"/>
      <c r="E3" s="47"/>
      <c r="F3" s="47"/>
      <c r="G3" s="47"/>
      <c r="H3" s="47"/>
      <c r="I3" s="47"/>
      <c r="J3" s="47"/>
    </row>
    <row r="4" spans="1:14" ht="16" x14ac:dyDescent="0.2">
      <c r="A4" s="1"/>
      <c r="B4" s="54" t="s">
        <v>179</v>
      </c>
      <c r="C4" s="54"/>
      <c r="D4" s="54"/>
      <c r="E4" s="54"/>
      <c r="F4" s="54"/>
      <c r="G4" s="54"/>
      <c r="H4" s="54"/>
    </row>
    <row r="5" spans="1:14" ht="24" x14ac:dyDescent="0.3">
      <c r="A5" s="17" t="s">
        <v>162</v>
      </c>
      <c r="B5" s="1"/>
      <c r="C5" s="1"/>
      <c r="D5" s="1"/>
      <c r="E5" s="1"/>
      <c r="F5" s="1"/>
      <c r="G5" s="1"/>
    </row>
    <row r="6" spans="1:14" ht="15" x14ac:dyDescent="0.2">
      <c r="A6" s="19" t="s">
        <v>64</v>
      </c>
      <c r="B6" s="20" t="s">
        <v>79</v>
      </c>
      <c r="C6" s="21" t="s">
        <v>71</v>
      </c>
      <c r="D6" s="20" t="s">
        <v>75</v>
      </c>
      <c r="E6" s="21" t="s">
        <v>76</v>
      </c>
      <c r="F6" s="22" t="s">
        <v>77</v>
      </c>
    </row>
    <row r="7" spans="1:14" ht="16" x14ac:dyDescent="0.2">
      <c r="A7" s="7" t="s">
        <v>40</v>
      </c>
      <c r="B7" s="50">
        <f>VLOOKUP(A7,Dataset!A2:X40,7,)</f>
        <v>2.7</v>
      </c>
      <c r="C7" s="51">
        <f>VLOOKUP(A7,Dataset!A2:X40,14,FALSE)</f>
        <v>7.6</v>
      </c>
      <c r="D7" s="51">
        <f>VLOOKUP(A7,Dataset!A2:X40,18,)</f>
        <v>4.2</v>
      </c>
      <c r="E7" s="51">
        <f>VLOOKUP(A7,Dataset!A2:X40,20,)</f>
        <v>8.9</v>
      </c>
      <c r="F7" s="52">
        <f>VLOOKUP(A7,Dataset!A2:X40,22,)</f>
        <v>4.2</v>
      </c>
    </row>
    <row r="8" spans="1:14" ht="16" x14ac:dyDescent="0.2">
      <c r="A8" s="7" t="s">
        <v>4</v>
      </c>
      <c r="B8" s="50">
        <f>VLOOKUP(A8,Dataset!A3:X41,7,)</f>
        <v>2.7</v>
      </c>
      <c r="C8" s="51">
        <f>VLOOKUP(A8,Dataset!A3:X41,14,FALSE)</f>
        <v>7.6</v>
      </c>
      <c r="D8" s="51">
        <f>VLOOKUP(A8,Dataset!A3:X41,18,)</f>
        <v>4.2</v>
      </c>
      <c r="E8" s="51">
        <f>VLOOKUP(A8,Dataset!A3:X41,20,)</f>
        <v>8.9</v>
      </c>
      <c r="F8" s="52">
        <f>VLOOKUP(A8,Dataset!A3:X41,22,)</f>
        <v>4.2</v>
      </c>
    </row>
    <row r="9" spans="1:14" ht="16" x14ac:dyDescent="0.2">
      <c r="A9" s="7" t="s">
        <v>7</v>
      </c>
      <c r="B9" s="50">
        <f>VLOOKUP(A9,Dataset!A4:X42,7,)</f>
        <v>3.6</v>
      </c>
      <c r="C9" s="51">
        <f>VLOOKUP(A9,Dataset!A4:X42,14,FALSE)</f>
        <v>11.1</v>
      </c>
      <c r="D9" s="51">
        <f>VLOOKUP(A9,Dataset!A4:X42,18,)</f>
        <v>5.8</v>
      </c>
      <c r="E9" s="51">
        <f>VLOOKUP(A9,Dataset!A4:X42,20,)</f>
        <v>12.2</v>
      </c>
      <c r="F9" s="52">
        <f>VLOOKUP(A9,Dataset!A4:X42,22,)</f>
        <v>5.8</v>
      </c>
    </row>
    <row r="10" spans="1:14" ht="16" x14ac:dyDescent="0.2">
      <c r="A10" s="7" t="s">
        <v>8</v>
      </c>
      <c r="B10" s="50">
        <f>VLOOKUP(A10,Dataset!A5:X43,7,)</f>
        <v>4.9000000000000004</v>
      </c>
      <c r="C10" s="51">
        <f>VLOOKUP(A10,Dataset!A5:X43,14,FALSE)</f>
        <v>13.3</v>
      </c>
      <c r="D10" s="51">
        <f>VLOOKUP(A10,Dataset!A5:X43,18,)</f>
        <v>8.1</v>
      </c>
      <c r="E10" s="51">
        <f>VLOOKUP(A10,Dataset!A5:X43,20,)</f>
        <v>17</v>
      </c>
      <c r="F10" s="52">
        <f>VLOOKUP(A10,Dataset!A5:X43,22,)</f>
        <v>8.1</v>
      </c>
    </row>
    <row r="11" spans="1:14" ht="16" x14ac:dyDescent="0.2">
      <c r="A11" s="7" t="s">
        <v>11</v>
      </c>
      <c r="B11" s="50">
        <f>VLOOKUP(A11,Dataset!A6:X44,7,)</f>
        <v>9.4</v>
      </c>
      <c r="C11" s="51">
        <f>VLOOKUP(A11,Dataset!A6:X44,14,FALSE)</f>
        <v>28.3</v>
      </c>
      <c r="D11" s="51">
        <f>VLOOKUP(A11,Dataset!A6:X44,18,)</f>
        <v>16.100000000000001</v>
      </c>
      <c r="E11" s="51">
        <f>VLOOKUP(A11,Dataset!A6:X44,20,)</f>
        <v>32.799999999999997</v>
      </c>
      <c r="F11" s="52">
        <f>VLOOKUP(A11,Dataset!A6:X44,22,)</f>
        <v>16.100000000000001</v>
      </c>
    </row>
    <row r="12" spans="1:14" ht="16" x14ac:dyDescent="0.2">
      <c r="A12" s="7" t="s">
        <v>12</v>
      </c>
      <c r="B12" s="50">
        <f>VLOOKUP(A12,Dataset!A7:X45,7,)</f>
        <v>11.6</v>
      </c>
      <c r="C12" s="51">
        <f>VLOOKUP(A12,Dataset!A7:X45,14,FALSE)</f>
        <v>35.200000000000003</v>
      </c>
      <c r="D12" s="51">
        <f>VLOOKUP(A12,Dataset!A7:X45,18,)</f>
        <v>21.3</v>
      </c>
      <c r="E12" s="51">
        <f>VLOOKUP(A12,Dataset!A7:X45,20,)</f>
        <v>43</v>
      </c>
      <c r="F12" s="52">
        <f>VLOOKUP(A12,Dataset!A7:X45,22,)</f>
        <v>21.3</v>
      </c>
    </row>
    <row r="13" spans="1:14" ht="16" x14ac:dyDescent="0.2">
      <c r="A13" s="7" t="s">
        <v>14</v>
      </c>
      <c r="B13" s="50">
        <f>VLOOKUP(A13,Dataset!A8:X46,7,)</f>
        <v>18.399999999999999</v>
      </c>
      <c r="C13" s="51">
        <f>VLOOKUP(A13,Dataset!A8:X46,14,FALSE)</f>
        <v>55.6</v>
      </c>
      <c r="D13" s="51">
        <f>VLOOKUP(A13,Dataset!A8:X46,18,)</f>
        <v>33.799999999999997</v>
      </c>
      <c r="E13" s="51">
        <f>VLOOKUP(A13,Dataset!A8:X46,20,)</f>
        <v>67.900000000000006</v>
      </c>
      <c r="F13" s="52">
        <f>VLOOKUP(A13,Dataset!A8:X46,22,)</f>
        <v>33.799999999999997</v>
      </c>
    </row>
    <row r="14" spans="1:14" ht="16" x14ac:dyDescent="0.2">
      <c r="A14" s="7" t="s">
        <v>15</v>
      </c>
      <c r="B14" s="50">
        <f>VLOOKUP(A14,Dataset!A9:X47,7,)</f>
        <v>0</v>
      </c>
      <c r="C14" s="51">
        <f>VLOOKUP(A14,Dataset!A9:X47,14,FALSE)</f>
        <v>0</v>
      </c>
      <c r="D14" s="51">
        <f>VLOOKUP(A14,Dataset!A9:X47,18,)</f>
        <v>0</v>
      </c>
      <c r="E14" s="51">
        <f>VLOOKUP(A14,Dataset!A9:X47,20,)</f>
        <v>0</v>
      </c>
      <c r="F14" s="52">
        <f>VLOOKUP(A14,Dataset!A9:X47,22,)</f>
        <v>0</v>
      </c>
    </row>
    <row r="15" spans="1:14" ht="16" x14ac:dyDescent="0.2">
      <c r="A15" s="7" t="s">
        <v>16</v>
      </c>
      <c r="B15" s="50">
        <f>VLOOKUP(A15,Dataset!A10:X48,7,)</f>
        <v>21.9</v>
      </c>
      <c r="C15" s="51">
        <f>VLOOKUP(A15,Dataset!A10:X48,14,FALSE)</f>
        <v>61.5</v>
      </c>
      <c r="D15" s="51">
        <f>VLOOKUP(A15,Dataset!A10:X48,18,)</f>
        <v>40.1</v>
      </c>
      <c r="E15" s="51">
        <f>VLOOKUP(A15,Dataset!A10:X48,20,)</f>
        <v>76.599999999999994</v>
      </c>
      <c r="F15" s="52">
        <f>VLOOKUP(A15,Dataset!A10:X48,22,)</f>
        <v>40.1</v>
      </c>
    </row>
    <row r="16" spans="1:14" ht="16" x14ac:dyDescent="0.2">
      <c r="A16" s="7" t="s">
        <v>18</v>
      </c>
      <c r="B16" s="50">
        <f>VLOOKUP(A16,Dataset!A11:X49,7,)</f>
        <v>26.8</v>
      </c>
      <c r="C16" s="51">
        <f>VLOOKUP(A16,Dataset!A11:X49,14,FALSE)</f>
        <v>79.599999999999994</v>
      </c>
      <c r="D16" s="51">
        <f>VLOOKUP(A16,Dataset!A11:X49,18,)</f>
        <v>47.9</v>
      </c>
      <c r="E16" s="51">
        <f>VLOOKUP(A16,Dataset!A11:X49,20,)</f>
        <v>96.8</v>
      </c>
      <c r="F16" s="52">
        <f>VLOOKUP(A16,Dataset!A11:X49,22,)</f>
        <v>47.9</v>
      </c>
    </row>
    <row r="17" spans="1:6" ht="16" x14ac:dyDescent="0.2">
      <c r="A17" s="7" t="s">
        <v>20</v>
      </c>
      <c r="B17" s="50">
        <f>VLOOKUP(A17,Dataset!A12:X50,7,)</f>
        <v>28.5</v>
      </c>
      <c r="C17" s="51">
        <f>VLOOKUP(A17,Dataset!A12:X50,14,FALSE)</f>
        <v>85.4</v>
      </c>
      <c r="D17" s="51">
        <f>VLOOKUP(A17,Dataset!A12:X50,18,)</f>
        <v>52.3</v>
      </c>
      <c r="E17" s="51">
        <f>VLOOKUP(A17,Dataset!A12:X50,20,)</f>
        <v>106.1</v>
      </c>
      <c r="F17" s="52">
        <f>VLOOKUP(A17,Dataset!A12:X50,22,)</f>
        <v>52.3</v>
      </c>
    </row>
    <row r="18" spans="1:6" ht="16" x14ac:dyDescent="0.2">
      <c r="A18" s="7" t="s">
        <v>22</v>
      </c>
      <c r="B18" s="50">
        <f>VLOOKUP(A18,Dataset!A13:X51,7,)</f>
        <v>30.7</v>
      </c>
      <c r="C18" s="51">
        <f>VLOOKUP(A18,Dataset!A13:X51,14,FALSE)</f>
        <v>92.1</v>
      </c>
      <c r="D18" s="51">
        <f>VLOOKUP(A18,Dataset!A13:X51,18,)</f>
        <v>57</v>
      </c>
      <c r="E18" s="51">
        <f>VLOOKUP(A18,Dataset!A13:X51,20,)</f>
        <v>115.1</v>
      </c>
      <c r="F18" s="52">
        <f>VLOOKUP(A18,Dataset!A13:X51,22,)</f>
        <v>57</v>
      </c>
    </row>
    <row r="19" spans="1:6" ht="16" x14ac:dyDescent="0.2">
      <c r="A19" s="7" t="s">
        <v>23</v>
      </c>
      <c r="B19" s="50">
        <f>VLOOKUP(A19,Dataset!A14:X52,7,)</f>
        <v>33.799999999999997</v>
      </c>
      <c r="C19" s="51">
        <f>VLOOKUP(A19,Dataset!A14:X52,14,FALSE)</f>
        <v>101.3</v>
      </c>
      <c r="D19" s="51">
        <f>VLOOKUP(A19,Dataset!A14:X52,18,)</f>
        <v>61.4</v>
      </c>
      <c r="E19" s="51">
        <f>VLOOKUP(A19,Dataset!A14:X52,20,)</f>
        <v>124.4</v>
      </c>
      <c r="F19" s="52">
        <f>VLOOKUP(A19,Dataset!A14:X52,22,)</f>
        <v>61.4</v>
      </c>
    </row>
    <row r="20" spans="1:6" ht="16" x14ac:dyDescent="0.2">
      <c r="A20" s="7" t="s">
        <v>24</v>
      </c>
      <c r="B20" s="50">
        <f>VLOOKUP(A20,Dataset!A15:X53,7,)</f>
        <v>34.700000000000003</v>
      </c>
      <c r="C20" s="51">
        <f>VLOOKUP(A20,Dataset!A15:X53,14,FALSE)</f>
        <v>106.1</v>
      </c>
      <c r="D20" s="51">
        <f>VLOOKUP(A20,Dataset!A15:X53,18,)</f>
        <v>63.6</v>
      </c>
      <c r="E20" s="51">
        <f>VLOOKUP(A20,Dataset!A15:X53,20,)</f>
        <v>128.6</v>
      </c>
      <c r="F20" s="52">
        <f>VLOOKUP(A20,Dataset!A15:X53,22,)</f>
        <v>63.6</v>
      </c>
    </row>
    <row r="21" spans="1:6" ht="16" x14ac:dyDescent="0.2">
      <c r="A21" s="7" t="s">
        <v>28</v>
      </c>
      <c r="B21" s="50">
        <f>VLOOKUP(A21,Dataset!A16:X54,7,)</f>
        <v>0</v>
      </c>
      <c r="C21" s="51">
        <f>VLOOKUP(A21,Dataset!A16:X54,14,FALSE)</f>
        <v>0</v>
      </c>
      <c r="D21" s="51">
        <f>VLOOKUP(A21,Dataset!A16:X54,18,)</f>
        <v>0</v>
      </c>
      <c r="E21" s="51">
        <f>VLOOKUP(A21,Dataset!A16:X54,20,)</f>
        <v>0</v>
      </c>
      <c r="F21" s="52">
        <f>VLOOKUP(A21,Dataset!A16:X54,22,)</f>
        <v>0</v>
      </c>
    </row>
    <row r="22" spans="1:6" ht="16" x14ac:dyDescent="0.2">
      <c r="A22" s="7" t="s">
        <v>57</v>
      </c>
      <c r="B22" s="50">
        <f>VLOOKUP(A22,Dataset!A17:X55,7,)</f>
        <v>41.3</v>
      </c>
      <c r="C22" s="51">
        <f>VLOOKUP(A22,Dataset!A17:X55,14,FALSE)</f>
        <v>124.4</v>
      </c>
      <c r="D22" s="51">
        <f>VLOOKUP(A22,Dataset!A17:X55,18,)</f>
        <v>75</v>
      </c>
      <c r="E22" s="51">
        <f>VLOOKUP(A22,Dataset!A17:X55,20,)</f>
        <v>151.5</v>
      </c>
      <c r="F22" s="52">
        <f>VLOOKUP(A22,Dataset!A17:X55,22,)</f>
        <v>75</v>
      </c>
    </row>
    <row r="23" spans="1:6" ht="16" x14ac:dyDescent="0.2">
      <c r="A23" s="7" t="s">
        <v>58</v>
      </c>
      <c r="B23" s="50">
        <f>VLOOKUP(A23,Dataset!A18:X56,7,)</f>
        <v>-1</v>
      </c>
      <c r="C23" s="51">
        <f>VLOOKUP(A23,Dataset!A18:X56,14,FALSE)</f>
        <v>-1</v>
      </c>
      <c r="D23" s="51">
        <f>VLOOKUP(A23,Dataset!A18:X56,18,)</f>
        <v>-1</v>
      </c>
      <c r="E23" s="51">
        <f>VLOOKUP(A23,Dataset!A18:X56,20,)</f>
        <v>-1</v>
      </c>
      <c r="F23" s="52">
        <f>VLOOKUP(A23,Dataset!A18:X56,22,)</f>
        <v>-1</v>
      </c>
    </row>
    <row r="24" spans="1:6" ht="16" x14ac:dyDescent="0.2">
      <c r="A24" s="7" t="s">
        <v>31</v>
      </c>
      <c r="B24" s="50">
        <f>VLOOKUP(A24,Dataset!A19:X57,7,)</f>
        <v>45</v>
      </c>
      <c r="C24" s="51">
        <f>VLOOKUP(A24,Dataset!A19:X57,14,FALSE)</f>
        <v>133.4</v>
      </c>
      <c r="D24" s="51">
        <f>VLOOKUP(A24,Dataset!A19:X57,18,)</f>
        <v>79.400000000000006</v>
      </c>
      <c r="E24" s="51">
        <f>VLOOKUP(A24,Dataset!A19:X57,20,)</f>
        <v>160.9</v>
      </c>
      <c r="F24" s="52">
        <f>VLOOKUP(A24,Dataset!A19:X57,22,)</f>
        <v>79.400000000000006</v>
      </c>
    </row>
    <row r="25" spans="1:6" ht="16" x14ac:dyDescent="0.2">
      <c r="A25" s="7" t="s">
        <v>32</v>
      </c>
      <c r="B25" s="50">
        <f>VLOOKUP(A25,Dataset!A20:X58,7,)</f>
        <v>-1</v>
      </c>
      <c r="C25" s="51">
        <f>VLOOKUP(A25,Dataset!A20:X58,14,FALSE)</f>
        <v>-1</v>
      </c>
      <c r="D25" s="51">
        <f>VLOOKUP(A25,Dataset!A20:X58,18,)</f>
        <v>-1</v>
      </c>
      <c r="E25" s="51">
        <f>VLOOKUP(A25,Dataset!A20:X58,20,)</f>
        <v>-1</v>
      </c>
      <c r="F25" s="52">
        <f>VLOOKUP(A25,Dataset!A20:X58,22,)</f>
        <v>-1</v>
      </c>
    </row>
    <row r="26" spans="1:6" ht="16" x14ac:dyDescent="0.2">
      <c r="A26" s="7" t="s">
        <v>34</v>
      </c>
      <c r="B26" s="50">
        <f>VLOOKUP(A26,Dataset!A21:X59,7,)</f>
        <v>43.3</v>
      </c>
      <c r="C26" s="51">
        <f>VLOOKUP(A26,Dataset!A21:X59,14,FALSE)</f>
        <v>128.6</v>
      </c>
      <c r="D26" s="51">
        <f>VLOOKUP(A26,Dataset!A21:X59,18,)</f>
        <v>79.400000000000006</v>
      </c>
      <c r="E26" s="51">
        <f>VLOOKUP(A26,Dataset!A21:X59,20,)</f>
        <v>160.9</v>
      </c>
      <c r="F26" s="52">
        <f>VLOOKUP(A26,Dataset!A21:X59,22,)</f>
        <v>79.400000000000006</v>
      </c>
    </row>
    <row r="27" spans="1:6" ht="16" x14ac:dyDescent="0.2">
      <c r="A27" s="7" t="s">
        <v>37</v>
      </c>
      <c r="B27" s="50">
        <f>VLOOKUP(A27,Dataset!A22:X60,7,)</f>
        <v>49.1</v>
      </c>
      <c r="C27" s="51">
        <f>VLOOKUP(A27,Dataset!A22:X60,14,FALSE)</f>
        <v>146.80000000000001</v>
      </c>
      <c r="D27" s="51">
        <f>VLOOKUP(A27,Dataset!A22:X60,18,)</f>
        <v>90.9</v>
      </c>
      <c r="E27" s="51">
        <f>VLOOKUP(A27,Dataset!A22:X60,20,)</f>
        <v>183.5</v>
      </c>
      <c r="F27" s="52">
        <f>VLOOKUP(A27,Dataset!A22:X60,22,)</f>
        <v>90.9</v>
      </c>
    </row>
    <row r="28" spans="1:6" ht="16" x14ac:dyDescent="0.2">
      <c r="A28" s="7" t="s">
        <v>39</v>
      </c>
      <c r="B28" s="50">
        <f>VLOOKUP(A28,Dataset!A23:X61,7,)</f>
        <v>51.8</v>
      </c>
      <c r="C28" s="51">
        <f>VLOOKUP(A28,Dataset!A23:X61,14,FALSE)</f>
        <v>156.4</v>
      </c>
      <c r="D28" s="51">
        <f>VLOOKUP(A28,Dataset!A23:X61,18,)</f>
        <v>93.1</v>
      </c>
      <c r="E28" s="51">
        <f>VLOOKUP(A28,Dataset!A23:X61,20,)</f>
        <v>188.1</v>
      </c>
      <c r="F28" s="52">
        <f>VLOOKUP(A28,Dataset!A23:X61,22,)</f>
        <v>93.1</v>
      </c>
    </row>
    <row r="29" spans="1:6" ht="15" x14ac:dyDescent="0.2">
      <c r="A29" s="18" t="s">
        <v>82</v>
      </c>
      <c r="B29" s="30">
        <f>MIN(B7:B28)</f>
        <v>-1</v>
      </c>
      <c r="C29" s="30">
        <f t="shared" ref="C29:F29" si="0">MIN(C7:C28)</f>
        <v>-1</v>
      </c>
      <c r="D29" s="30">
        <f t="shared" si="0"/>
        <v>-1</v>
      </c>
      <c r="E29" s="30">
        <f t="shared" si="0"/>
        <v>-1</v>
      </c>
      <c r="F29" s="30">
        <f t="shared" si="0"/>
        <v>-1</v>
      </c>
    </row>
    <row r="30" spans="1:6" ht="15" x14ac:dyDescent="0.2">
      <c r="A30" s="18" t="s">
        <v>83</v>
      </c>
      <c r="B30" s="30">
        <f>MAX(B7:B28)</f>
        <v>51.8</v>
      </c>
      <c r="C30" s="30">
        <f t="shared" ref="C30:F30" si="1">MAX(C7:C28)</f>
        <v>156.4</v>
      </c>
      <c r="D30" s="30">
        <f t="shared" si="1"/>
        <v>93.1</v>
      </c>
      <c r="E30" s="30">
        <f t="shared" si="1"/>
        <v>188.1</v>
      </c>
      <c r="F30" s="30">
        <f t="shared" si="1"/>
        <v>93.1</v>
      </c>
    </row>
    <row r="31" spans="1:6" ht="15" x14ac:dyDescent="0.2">
      <c r="A31" s="18" t="s">
        <v>84</v>
      </c>
      <c r="B31" s="30">
        <f>AVERAGE(B7:B28)</f>
        <v>20.827272727272728</v>
      </c>
      <c r="C31" s="30">
        <f t="shared" ref="C31:F31" si="2">AVERAGE(C7:C28)</f>
        <v>62.377272727272725</v>
      </c>
      <c r="D31" s="30">
        <f t="shared" si="2"/>
        <v>37.800000000000004</v>
      </c>
      <c r="E31" s="30">
        <f t="shared" si="2"/>
        <v>76.418181818181822</v>
      </c>
      <c r="F31" s="30">
        <f t="shared" si="2"/>
        <v>37.800000000000004</v>
      </c>
    </row>
  </sheetData>
  <mergeCells count="3">
    <mergeCell ref="B1:N1"/>
    <mergeCell ref="B2:J2"/>
    <mergeCell ref="B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zoomScaleNormal="100" workbookViewId="0">
      <selection activeCell="J14" sqref="J14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2" s="40" customFormat="1" ht="21" x14ac:dyDescent="0.25">
      <c r="A1" s="41" t="s">
        <v>56</v>
      </c>
      <c r="B1" s="40" t="s">
        <v>174</v>
      </c>
    </row>
    <row r="2" spans="1:12" customFormat="1" ht="13" x14ac:dyDescent="0.15"/>
    <row r="3" spans="1:12" s="2" customFormat="1" x14ac:dyDescent="0.2">
      <c r="B3" s="1"/>
    </row>
    <row r="4" spans="1:12" s="2" customFormat="1" x14ac:dyDescent="0.2">
      <c r="B4" s="1" t="s">
        <v>151</v>
      </c>
    </row>
    <row r="5" spans="1:12" ht="19" x14ac:dyDescent="0.25">
      <c r="A5" s="42" t="s">
        <v>53</v>
      </c>
      <c r="B5" s="39"/>
    </row>
    <row r="6" spans="1:12" ht="19" x14ac:dyDescent="0.25">
      <c r="A6" s="42" t="s">
        <v>153</v>
      </c>
      <c r="B6" s="39"/>
    </row>
    <row r="7" spans="1:12" ht="19" x14ac:dyDescent="0.25">
      <c r="A7" s="42"/>
      <c r="B7" s="53" t="s">
        <v>178</v>
      </c>
      <c r="C7" s="53"/>
      <c r="D7" s="53"/>
      <c r="E7" s="53"/>
      <c r="F7" s="53"/>
      <c r="G7" s="53"/>
      <c r="H7" s="53"/>
      <c r="I7" s="53"/>
      <c r="J7" s="53"/>
      <c r="K7" s="53"/>
      <c r="L7" s="53"/>
    </row>
    <row r="9" spans="1:12" ht="24" x14ac:dyDescent="0.3">
      <c r="A9" s="17" t="s">
        <v>165</v>
      </c>
      <c r="I9" s="2"/>
      <c r="J9" s="2"/>
    </row>
    <row r="10" spans="1:12" x14ac:dyDescent="0.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2" x14ac:dyDescent="0.2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2" ht="24" x14ac:dyDescent="0.3">
      <c r="A14" s="17" t="s">
        <v>162</v>
      </c>
    </row>
    <row r="15" spans="1:12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2" x14ac:dyDescent="0.2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1">
    <mergeCell ref="B7:L7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E21" sqref="E21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9" ht="21" x14ac:dyDescent="0.25">
      <c r="A1" s="41" t="s">
        <v>85</v>
      </c>
      <c r="B1" s="40" t="s">
        <v>167</v>
      </c>
    </row>
    <row r="2" spans="1:9" ht="19" x14ac:dyDescent="0.25">
      <c r="B2" s="39" t="s">
        <v>166</v>
      </c>
    </row>
    <row r="5" spans="1:9" ht="15" x14ac:dyDescent="0.2">
      <c r="B5" s="1" t="s">
        <v>151</v>
      </c>
    </row>
    <row r="6" spans="1:9" ht="15" x14ac:dyDescent="0.2">
      <c r="A6" s="3" t="s">
        <v>53</v>
      </c>
      <c r="B6" s="1"/>
    </row>
    <row r="7" spans="1:9" ht="15" x14ac:dyDescent="0.2">
      <c r="A7" s="3" t="s">
        <v>153</v>
      </c>
      <c r="B7" s="1"/>
    </row>
    <row r="8" spans="1:9" ht="19" x14ac:dyDescent="0.25">
      <c r="B8" s="53" t="s">
        <v>180</v>
      </c>
      <c r="C8" s="53"/>
      <c r="D8" s="53"/>
      <c r="E8" s="53"/>
      <c r="F8" s="53"/>
      <c r="G8" s="53"/>
      <c r="H8" s="53"/>
      <c r="I8" s="53"/>
    </row>
    <row r="10" spans="1:9" ht="24" x14ac:dyDescent="0.3">
      <c r="A10" s="17" t="s">
        <v>162</v>
      </c>
    </row>
    <row r="11" spans="1:9" ht="15" x14ac:dyDescent="0.2">
      <c r="A11" s="31" t="s">
        <v>86</v>
      </c>
      <c r="B11" s="16" t="s">
        <v>87</v>
      </c>
      <c r="C11" s="16" t="s">
        <v>88</v>
      </c>
    </row>
    <row r="12" spans="1:9" ht="15" x14ac:dyDescent="0.2">
      <c r="A12" s="31">
        <v>44927</v>
      </c>
      <c r="B12" s="16" t="s">
        <v>59</v>
      </c>
      <c r="C12" s="16">
        <v>200</v>
      </c>
    </row>
    <row r="13" spans="1:9" ht="15" x14ac:dyDescent="0.2">
      <c r="A13" s="31">
        <v>44928</v>
      </c>
      <c r="B13" s="16" t="s">
        <v>60</v>
      </c>
      <c r="C13" s="16" t="e">
        <v>#N/A</v>
      </c>
    </row>
    <row r="14" spans="1:9" ht="15" x14ac:dyDescent="0.2">
      <c r="A14" s="31">
        <v>44929</v>
      </c>
      <c r="B14" s="16" t="s">
        <v>61</v>
      </c>
      <c r="C14" s="16">
        <v>50</v>
      </c>
    </row>
    <row r="15" spans="1:9" ht="15" x14ac:dyDescent="0.2">
      <c r="A15" s="31">
        <v>44930</v>
      </c>
      <c r="B15" s="16" t="s">
        <v>62</v>
      </c>
      <c r="C15" s="16" t="e">
        <v>#N/A</v>
      </c>
    </row>
    <row r="16" spans="1:9" ht="15" x14ac:dyDescent="0.2">
      <c r="A16" s="31">
        <v>44931</v>
      </c>
      <c r="B16" s="16" t="s">
        <v>63</v>
      </c>
      <c r="C16" s="16">
        <v>10</v>
      </c>
    </row>
    <row r="17" spans="1:3" ht="15" x14ac:dyDescent="0.2">
      <c r="A17" s="31">
        <v>44932</v>
      </c>
      <c r="B17" s="16" t="s">
        <v>154</v>
      </c>
      <c r="C17" s="16">
        <v>150</v>
      </c>
    </row>
    <row r="18" spans="1:3" ht="15" x14ac:dyDescent="0.2">
      <c r="A18" s="31">
        <v>44933</v>
      </c>
      <c r="B18" s="16" t="s">
        <v>155</v>
      </c>
      <c r="C18" s="16">
        <v>80</v>
      </c>
    </row>
    <row r="19" spans="1:3" ht="15" x14ac:dyDescent="0.2">
      <c r="A19" s="31">
        <v>44934</v>
      </c>
      <c r="B19" s="16" t="s">
        <v>156</v>
      </c>
      <c r="C19" s="16" t="e">
        <v>#N/A</v>
      </c>
    </row>
    <row r="20" spans="1:3" ht="15" x14ac:dyDescent="0.2">
      <c r="A20" s="31">
        <v>44935</v>
      </c>
      <c r="B20" s="16" t="s">
        <v>157</v>
      </c>
      <c r="C20" s="16">
        <v>30</v>
      </c>
    </row>
    <row r="21" spans="1:3" ht="15" x14ac:dyDescent="0.2">
      <c r="A21" s="31">
        <v>44936</v>
      </c>
      <c r="B21" s="16" t="s">
        <v>158</v>
      </c>
      <c r="C21" s="16" t="e">
        <v>#N/A</v>
      </c>
    </row>
    <row r="22" spans="1:3" ht="15" x14ac:dyDescent="0.2">
      <c r="B22" s="16" t="s">
        <v>159</v>
      </c>
      <c r="C22" s="24" cm="1">
        <f t="array" ref="C22">SUM(IF(ISNA(C12:C21), 20,C12:C21))</f>
        <v>600</v>
      </c>
    </row>
  </sheetData>
  <mergeCells count="1">
    <mergeCell ref="B8:I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R35"/>
  <sheetViews>
    <sheetView tabSelected="1" zoomScaleNormal="100" workbookViewId="0">
      <selection activeCell="G19" sqref="G19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1" t="s">
        <v>98</v>
      </c>
      <c r="B1" s="40" t="s">
        <v>175</v>
      </c>
    </row>
    <row r="3" spans="1:14" ht="15" x14ac:dyDescent="0.2">
      <c r="B3" s="1" t="s">
        <v>151</v>
      </c>
    </row>
    <row r="4" spans="1:14" ht="19" x14ac:dyDescent="0.25">
      <c r="A4" s="42" t="s">
        <v>53</v>
      </c>
      <c r="B4" s="1"/>
    </row>
    <row r="5" spans="1:14" ht="19" x14ac:dyDescent="0.25">
      <c r="A5" s="42" t="s">
        <v>153</v>
      </c>
      <c r="B5" s="1"/>
    </row>
    <row r="6" spans="1:14" ht="15" x14ac:dyDescent="0.2">
      <c r="A6" s="3"/>
      <c r="B6" s="1"/>
    </row>
    <row r="8" spans="1:14" ht="24" x14ac:dyDescent="0.3">
      <c r="A8" s="17" t="s">
        <v>162</v>
      </c>
      <c r="M8" s="17" t="s">
        <v>163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8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8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8" ht="24" x14ac:dyDescent="0.3">
      <c r="A21" s="17" t="s">
        <v>168</v>
      </c>
    </row>
    <row r="22" spans="1:18" ht="15" x14ac:dyDescent="0.2">
      <c r="A22" s="13" t="s">
        <v>100</v>
      </c>
      <c r="B22" s="16" t="s">
        <v>101</v>
      </c>
      <c r="C22" s="15" t="s">
        <v>102</v>
      </c>
    </row>
    <row r="23" spans="1:18" ht="19" x14ac:dyDescent="0.25">
      <c r="A23" s="7">
        <v>10100</v>
      </c>
      <c r="B23" s="11">
        <v>10102</v>
      </c>
      <c r="C23" s="56" t="str" cm="1">
        <f t="array" ref="C23:C31">IFERROR(INDEX(M9:N18, MATCH(N18:N19,N10:N18,2)),"") &amp;IFERROR(INDEX(A9:J18, MATCH(A10:A18,B9:J18,B9:J18)),"")</f>
        <v/>
      </c>
      <c r="J23" s="49"/>
    </row>
    <row r="24" spans="1:18" ht="15" x14ac:dyDescent="0.2">
      <c r="A24" s="7">
        <v>10100</v>
      </c>
      <c r="B24" s="11">
        <v>10104</v>
      </c>
      <c r="C24" s="43" t="str">
        <v/>
      </c>
      <c r="J24" s="55"/>
      <c r="K24" s="55"/>
      <c r="L24" s="55"/>
      <c r="M24" s="55"/>
      <c r="N24" s="55"/>
      <c r="O24" s="55"/>
      <c r="P24" s="55"/>
      <c r="Q24" s="55"/>
      <c r="R24" s="55"/>
    </row>
    <row r="25" spans="1:18" ht="15" x14ac:dyDescent="0.2">
      <c r="A25" s="7">
        <v>10108</v>
      </c>
      <c r="B25" s="11">
        <v>10102</v>
      </c>
      <c r="C25" s="43" t="e">
        <v>#N/A</v>
      </c>
      <c r="J25" s="55"/>
      <c r="K25" s="55"/>
      <c r="L25" s="55"/>
      <c r="M25" s="55"/>
      <c r="N25" s="55"/>
      <c r="O25" s="55"/>
      <c r="P25" s="55"/>
      <c r="Q25" s="55"/>
      <c r="R25" s="55"/>
    </row>
    <row r="26" spans="1:18" ht="15" x14ac:dyDescent="0.2">
      <c r="A26" s="7">
        <v>10100</v>
      </c>
      <c r="B26" s="11">
        <v>10106</v>
      </c>
      <c r="C26" s="43" t="e">
        <v>#N/A</v>
      </c>
      <c r="J26" s="55"/>
      <c r="K26" s="55"/>
      <c r="L26" s="55"/>
      <c r="M26" s="55"/>
      <c r="N26" s="55"/>
      <c r="O26" s="55"/>
      <c r="P26" s="55"/>
      <c r="Q26" s="55"/>
      <c r="R26" s="55"/>
    </row>
    <row r="27" spans="1:18" ht="15" x14ac:dyDescent="0.2">
      <c r="A27" s="7">
        <v>10108</v>
      </c>
      <c r="B27" s="11">
        <v>10110</v>
      </c>
      <c r="C27" s="43" t="e">
        <v>#N/A</v>
      </c>
      <c r="J27" s="55"/>
      <c r="K27" s="55"/>
      <c r="L27" s="55"/>
      <c r="M27" s="55"/>
      <c r="N27" s="55"/>
      <c r="O27" s="55"/>
      <c r="P27" s="55"/>
      <c r="Q27" s="55"/>
      <c r="R27" s="55"/>
    </row>
    <row r="28" spans="1:18" ht="15" x14ac:dyDescent="0.2">
      <c r="A28" s="7">
        <v>10102</v>
      </c>
      <c r="B28" s="11">
        <v>10104</v>
      </c>
      <c r="C28" s="43" t="e">
        <v>#N/A</v>
      </c>
    </row>
    <row r="29" spans="1:18" ht="15" x14ac:dyDescent="0.2">
      <c r="A29" s="7">
        <v>10106</v>
      </c>
      <c r="B29" s="11">
        <v>10108</v>
      </c>
      <c r="C29" s="43" t="e">
        <v>#N/A</v>
      </c>
    </row>
    <row r="30" spans="1:18" ht="15" x14ac:dyDescent="0.2">
      <c r="A30" s="7">
        <v>10102</v>
      </c>
      <c r="B30" s="11">
        <v>10106</v>
      </c>
      <c r="C30" s="43" t="e">
        <v>#N/A</v>
      </c>
    </row>
    <row r="31" spans="1:18" ht="15" x14ac:dyDescent="0.2">
      <c r="A31" s="7">
        <v>10110</v>
      </c>
      <c r="B31" s="11">
        <v>10114</v>
      </c>
      <c r="C31" s="43" t="e">
        <v>#N/A</v>
      </c>
    </row>
    <row r="32" spans="1:18" ht="15" x14ac:dyDescent="0.2">
      <c r="A32" s="7">
        <v>10104</v>
      </c>
      <c r="B32" s="11">
        <v>10106</v>
      </c>
      <c r="C32" s="43"/>
    </row>
    <row r="33" spans="1:3" ht="15" x14ac:dyDescent="0.2">
      <c r="A33" s="7">
        <v>10110</v>
      </c>
      <c r="B33" s="11">
        <v>10112</v>
      </c>
      <c r="C33" s="43"/>
    </row>
    <row r="34" spans="1:3" ht="15" x14ac:dyDescent="0.2">
      <c r="A34" s="7">
        <v>10100</v>
      </c>
      <c r="B34" s="11">
        <v>10114</v>
      </c>
      <c r="C34" s="43"/>
    </row>
    <row r="35" spans="1:3" ht="15" x14ac:dyDescent="0.2">
      <c r="A35" s="8">
        <v>10112</v>
      </c>
      <c r="B35" s="12">
        <v>10116</v>
      </c>
      <c r="C35" s="44"/>
    </row>
  </sheetData>
  <mergeCells count="1">
    <mergeCell ref="J24:R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Devam ostwal</cp:lastModifiedBy>
  <dcterms:created xsi:type="dcterms:W3CDTF">2015-02-10T17:33:11Z</dcterms:created>
  <dcterms:modified xsi:type="dcterms:W3CDTF">2023-12-10T13:13:09Z</dcterms:modified>
</cp:coreProperties>
</file>